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Sample size" sheetId="2" state="visible" r:id="rId4"/>
    <sheet name="Test result" sheetId="3" state="visible" r:id="rId5"/>
    <sheet name="Segment lift" sheetId="4" state="visible" r:id="rId6"/>
    <sheet name="Next campaign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<sst xmlns="http://schemas.openxmlformats.org/spreadsheetml/2006/main" count="92" uniqueCount="88">
  <si>
    <t xml:space="preserve">Outreach uplift calculator</t>
  </si>
  <si>
    <t xml:space="preserve">Companion to the causal-uplift-targeting-guide repository. For lenders who plan and read outreach tests in a spreadsheet.</t>
  </si>
  <si>
    <t xml:space="preserve">How to use</t>
  </si>
  <si>
    <t xml:space="preserve">1. Yellow cells with blue text are inputs. Replace the example values with your own.</t>
  </si>
  <si>
    <t xml:space="preserve">2. Everything else is a formula. Don't type over it.</t>
  </si>
  <si>
    <t xml:space="preserve">Tabs</t>
  </si>
  <si>
    <t xml:space="preserve">Sample size: how many prospects a randomized test needs, and the smallest lift it can detect (guide chapter 2).</t>
  </si>
  <si>
    <t xml:space="preserve">Test result: did outreach work? Lift with a 95% interval, and the cost per incremental application or funded loan (chapter 3).</t>
  </si>
  <si>
    <t xml:space="preserve">Segment lift: lift by segment, with intervals and shrinkage toward the overall lift (chapter 4).</t>
  </si>
  <si>
    <t xml:space="preserve">Next campaign: spend a contact budget on the segments with the highest lift, and check target-market reach against a floor (chapters 6 and 7).</t>
  </si>
  <si>
    <t xml:space="preserve">About the example values</t>
  </si>
  <si>
    <t xml:space="preserve">All example values come from the repository's synthetic data (examples/synthetic_data.py). They do not describe any real lender or campaign.</t>
  </si>
  <si>
    <t xml:space="preserve">General methodology, not legal, regulatory, or compliance advice.</t>
  </si>
  <si>
    <t xml:space="preserve">How big a test?</t>
  </si>
  <si>
    <t xml:space="preserve">Two-sided test of two proportions. Absolute lifts, e.g. 0.02 = 2 percentage points.</t>
  </si>
  <si>
    <t xml:space="preserve">Application rate without outreach</t>
  </si>
  <si>
    <t xml:space="preserve">From past campaigns, or a reasonable guess</t>
  </si>
  <si>
    <t xml:space="preserve">Lift you want to detect</t>
  </si>
  <si>
    <t xml:space="preserve">The smallest effect worth acting on</t>
  </si>
  <si>
    <t xml:space="preserve">Holdout share</t>
  </si>
  <si>
    <t xml:space="preserve">Share of the list left uncontacted</t>
  </si>
  <si>
    <t xml:space="preserve">Significance level</t>
  </si>
  <si>
    <t xml:space="preserve">Power</t>
  </si>
  <si>
    <t xml:space="preserve">Rate with outreach</t>
  </si>
  <si>
    <t xml:space="preserve">Contacted per holdout prospect</t>
  </si>
  <si>
    <t xml:space="preserve">Holdout prospects needed</t>
  </si>
  <si>
    <t xml:space="preserve">Contacted prospects needed</t>
  </si>
  <si>
    <t xml:space="preserve">Total list needed</t>
  </si>
  <si>
    <t xml:space="preserve">Smallest detectable lift for a list you already have</t>
  </si>
  <si>
    <t xml:space="preserve">Prospects on your list</t>
  </si>
  <si>
    <t xml:space="preserve">Smallest detectable lift (approx.)</t>
  </si>
  <si>
    <t xml:space="preserve">Uses the with-outreach rate at base + 2 points; close enough for planning</t>
  </si>
  <si>
    <t xml:space="preserve">Did outreach work?</t>
  </si>
  <si>
    <t xml:space="preserve">Example: the synthetic pilot (4,000 prospects, 50/50 randomized). Outcome = funded loans within 60 days.</t>
  </si>
  <si>
    <t xml:space="preserve">Contacted</t>
  </si>
  <si>
    <t xml:space="preserve">Holdout</t>
  </si>
  <si>
    <t xml:space="preserve">Prospects</t>
  </si>
  <si>
    <t xml:space="preserve">Outcomes (e.g. funded loans)</t>
  </si>
  <si>
    <t xml:space="preserve">Rate</t>
  </si>
  <si>
    <t xml:space="preserve">Lift (percentage points)</t>
  </si>
  <si>
    <t xml:space="preserve">Standard error</t>
  </si>
  <si>
    <t xml:space="preserve">95% interval, low</t>
  </si>
  <si>
    <t xml:space="preserve">95% interval, high</t>
  </si>
  <si>
    <t xml:space="preserve">p-value (two-sided)</t>
  </si>
  <si>
    <t xml:space="preserve">Incremental outcomes caused by outreach</t>
  </si>
  <si>
    <t xml:space="preserve">Among those contacted</t>
  </si>
  <si>
    <t xml:space="preserve">Share of contacted outcomes that would have happened anyway</t>
  </si>
  <si>
    <t xml:space="preserve">Cost per contact ($)</t>
  </si>
  <si>
    <t xml:space="preserve">Naive cost per outcome among contacted</t>
  </si>
  <si>
    <t xml:space="preserve">What most campaign reports show</t>
  </si>
  <si>
    <t xml:space="preserve">Cost per INCREMENTAL outcome</t>
  </si>
  <si>
    <t xml:space="preserve">  best case (high end of interval)</t>
  </si>
  <si>
    <t xml:space="preserve">  worst case (low end of interval)</t>
  </si>
  <si>
    <t xml:space="preserve">Lift by segment</t>
  </si>
  <si>
    <t xml:space="preserve">Define segments BEFORE looking at results. Example: synthetic pilot, outcome = applications. Shrinkage pulls noisy segments toward the overall lift.</t>
  </si>
  <si>
    <t xml:space="preserve">Segment</t>
  </si>
  <si>
    <t xml:space="preserve">Contacted: applied</t>
  </si>
  <si>
    <t xml:space="preserve">Holdout: applied</t>
  </si>
  <si>
    <t xml:space="preserve">Rate contacted</t>
  </si>
  <si>
    <t xml:space="preserve">Rate holdout</t>
  </si>
  <si>
    <t xml:space="preserve">Lift</t>
  </si>
  <si>
    <t xml:space="preserve">Std error</t>
  </si>
  <si>
    <t xml:space="preserve">95% low</t>
  </si>
  <si>
    <t xml:space="preserve">95% high</t>
  </si>
  <si>
    <t xml:space="preserve">Shrunk lift</t>
  </si>
  <si>
    <t xml:space="preserve">TA alumni, no loan</t>
  </si>
  <si>
    <t xml:space="preserve">Already engaged</t>
  </si>
  <si>
    <t xml:space="preserve">Other</t>
  </si>
  <si>
    <t xml:space="preserve">Recently declined</t>
  </si>
  <si>
    <t xml:space="preserve">Overall lift</t>
  </si>
  <si>
    <t xml:space="preserve">Between-segment variance (true)</t>
  </si>
  <si>
    <t xml:space="preserve">Variance of segment lifts minus average sampling variance. If zero, every segment shrinks to the overall lift.</t>
  </si>
  <si>
    <t xml:space="preserve">Spend the contact budget where outreach makes a difference</t>
  </si>
  <si>
    <t xml:space="preserve">Contacts go to segments in order of shrunk lift. Segments with zero or negative lift get no contacts. Example: the next synthetic list of 4,000.</t>
  </si>
  <si>
    <t xml:space="preserve">Contact budget (number of contacts)</t>
  </si>
  <si>
    <t xml:space="preserve">Target-market floor (share of contacts)</t>
  </si>
  <si>
    <t xml:space="preserve">e.g. the CDFI 60% target-market benchmark, or your own policy</t>
  </si>
  <si>
    <t xml:space="preserve">Prospects on next list</t>
  </si>
  <si>
    <t xml:space="preserve">Share in target market</t>
  </si>
  <si>
    <t xml:space="preserve">Priority rank</t>
  </si>
  <si>
    <t xml:space="preserve">Contacts allocated</t>
  </si>
  <si>
    <t xml:space="preserve">Expected incremental applications</t>
  </si>
  <si>
    <t xml:space="preserve">Target-market contacts</t>
  </si>
  <si>
    <t xml:space="preserve">Total</t>
  </si>
  <si>
    <t xml:space="preserve">Target-market share of contacts</t>
  </si>
  <si>
    <t xml:space="preserve">Floor check</t>
  </si>
  <si>
    <t xml:space="preserve">Budget not used</t>
  </si>
  <si>
    <t xml:space="preserve">If positive, no remaining segment has a positive lift. Consider not spending it.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</si>
</sst>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0.0%"/>
    <numFmt numFmtId="166" formatCode="0%"/>
    <numFmt numFmtId="167" formatCode="0.00"/>
    <numFmt numFmtId="168" formatCode="#,##0"/>
    <numFmt numFmtId="169" formatCode="0.00%"/>
    <numFmt numFmtId="170" formatCode="0.0000"/>
    <numFmt numFmtId="171" formatCode="#,##0.0"/>
    <numFmt numFmtId="172" formatCode="\$#,##0"/>
    <numFmt numFmtId="173" formatCode="0.000000"/>
    <numFmt numFmtId="174" formatCode="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1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8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3A5F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D9EAD3"/>
        </patternFill>
      </fill>
    </dxf>
    <dxf>
      <fill>
        <patternFill>
          <bgColor rgb="FFF4CC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5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3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26.8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/>
    </row>
    <row r="14" customFormat="false" ht="15" hidden="false" customHeight="false" outlineLevel="0" collapsed="false">
      <c r="A14" s="3" t="s">
        <v>10</v>
      </c>
    </row>
    <row r="15" customFormat="false" ht="26.85" hidden="false" customHeight="false" outlineLevel="0" collapsed="false">
      <c r="A15" s="2" t="s">
        <v>11</v>
      </c>
    </row>
    <row r="16" customFormat="false" ht="15" hidden="false" customHeight="false" outlineLevel="0" collapsed="false">
      <c r="A16" s="2"/>
    </row>
    <row r="17" customFormat="false" ht="15" hidden="false" customHeight="false" outlineLevel="0" collapsed="false">
      <c r="A17" s="4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4"/>
    <col collapsed="false" customWidth="true" hidden="false" outlineLevel="0" max="3" min="3" style="0" width="70"/>
  </cols>
  <sheetData>
    <row r="1" customFormat="false" ht="17.35" hidden="false" customHeight="false" outlineLevel="0" collapsed="false">
      <c r="A1" s="5" t="s">
        <v>13</v>
      </c>
    </row>
    <row r="2" customFormat="false" ht="15" hidden="false" customHeight="false" outlineLevel="0" collapsed="false">
      <c r="A2" s="6" t="s">
        <v>14</v>
      </c>
    </row>
    <row r="4" customFormat="false" ht="15" hidden="false" customHeight="false" outlineLevel="0" collapsed="false">
      <c r="A4" s="7" t="s">
        <v>15</v>
      </c>
      <c r="B4" s="8" t="n">
        <v>0.04</v>
      </c>
      <c r="C4" s="6" t="s">
        <v>16</v>
      </c>
    </row>
    <row r="5" customFormat="false" ht="15" hidden="false" customHeight="false" outlineLevel="0" collapsed="false">
      <c r="A5" s="7" t="s">
        <v>17</v>
      </c>
      <c r="B5" s="8" t="n">
        <v>0.02</v>
      </c>
      <c r="C5" s="6" t="s">
        <v>18</v>
      </c>
    </row>
    <row r="6" customFormat="false" ht="15" hidden="false" customHeight="false" outlineLevel="0" collapsed="false">
      <c r="A6" s="7" t="s">
        <v>19</v>
      </c>
      <c r="B6" s="9" t="n">
        <v>0.5</v>
      </c>
      <c r="C6" s="6" t="s">
        <v>20</v>
      </c>
    </row>
    <row r="7" customFormat="false" ht="15" hidden="false" customHeight="false" outlineLevel="0" collapsed="false">
      <c r="A7" s="7" t="s">
        <v>21</v>
      </c>
      <c r="B7" s="10" t="n">
        <v>0.05</v>
      </c>
    </row>
    <row r="8" customFormat="false" ht="15" hidden="false" customHeight="false" outlineLevel="0" collapsed="false">
      <c r="A8" s="7" t="s">
        <v>22</v>
      </c>
      <c r="B8" s="9" t="n">
        <v>0.8</v>
      </c>
    </row>
    <row r="10" customFormat="false" ht="15" hidden="false" customHeight="false" outlineLevel="0" collapsed="false">
      <c r="A10" s="7" t="s">
        <v>23</v>
      </c>
      <c r="B10" s="11" t="n">
        <f aca="false">B4+B5</f>
        <v>0.06</v>
      </c>
    </row>
    <row r="11" customFormat="false" ht="15" hidden="false" customHeight="false" outlineLevel="0" collapsed="false">
      <c r="A11" s="7" t="s">
        <v>24</v>
      </c>
      <c r="B11" s="12" t="n">
        <f aca="false">(1-B6)/B6</f>
        <v>1</v>
      </c>
    </row>
    <row r="12" customFormat="false" ht="15" hidden="false" customHeight="false" outlineLevel="0" collapsed="false">
      <c r="A12" s="13" t="s">
        <v>25</v>
      </c>
      <c r="B12" s="14" t="n">
        <f aca="false">ROUNDUP((NORMSINV(1-B7/2)+NORMSINV(B8))^2*(B4*(1-B4)+B10*(1-B10)/B11)/B5^2,0)</f>
        <v>1861</v>
      </c>
    </row>
    <row r="13" customFormat="false" ht="15" hidden="false" customHeight="false" outlineLevel="0" collapsed="false">
      <c r="A13" s="13" t="s">
        <v>26</v>
      </c>
      <c r="B13" s="14" t="n">
        <f aca="false">ROUNDUP(B12*B11,0)</f>
        <v>1861</v>
      </c>
    </row>
    <row r="14" customFormat="false" ht="15" hidden="false" customHeight="false" outlineLevel="0" collapsed="false">
      <c r="A14" s="13" t="s">
        <v>27</v>
      </c>
      <c r="B14" s="14" t="n">
        <f aca="false">B12+B13</f>
        <v>3722</v>
      </c>
    </row>
    <row r="16" customFormat="false" ht="15" hidden="false" customHeight="false" outlineLevel="0" collapsed="false">
      <c r="A16" s="15" t="s">
        <v>28</v>
      </c>
    </row>
    <row r="17" customFormat="false" ht="15" hidden="false" customHeight="false" outlineLevel="0" collapsed="false">
      <c r="A17" s="7" t="s">
        <v>29</v>
      </c>
      <c r="B17" s="16" t="n">
        <v>4000</v>
      </c>
    </row>
    <row r="18" customFormat="false" ht="15" hidden="false" customHeight="false" outlineLevel="0" collapsed="false">
      <c r="A18" s="13" t="s">
        <v>30</v>
      </c>
      <c r="B18" s="17" t="n">
        <f aca="false">(NORMSINV(1-B7/2)+NORMSINV(B8))*SQRT(B4*(1-B4)/(B17*B6)+(B4+0.02)*(1-B4-0.02)/(B17*(1-B6)))</f>
        <v>0.0192882580708613</v>
      </c>
      <c r="C18" s="6" t="s"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6"/>
    <col collapsed="false" customWidth="true" hidden="false" outlineLevel="0" max="3" min="3" style="0" width="40"/>
  </cols>
  <sheetData>
    <row r="1" customFormat="false" ht="17.35" hidden="false" customHeight="false" outlineLevel="0" collapsed="false">
      <c r="A1" s="5" t="s">
        <v>32</v>
      </c>
    </row>
    <row r="2" customFormat="false" ht="15" hidden="false" customHeight="false" outlineLevel="0" collapsed="false">
      <c r="A2" s="6" t="s">
        <v>33</v>
      </c>
    </row>
    <row r="4" customFormat="false" ht="15" hidden="false" customHeight="false" outlineLevel="0" collapsed="false">
      <c r="A4" s="18"/>
      <c r="B4" s="18" t="s">
        <v>34</v>
      </c>
      <c r="C4" s="18" t="s">
        <v>35</v>
      </c>
    </row>
    <row r="5" customFormat="false" ht="15" hidden="false" customHeight="false" outlineLevel="0" collapsed="false">
      <c r="A5" s="7" t="s">
        <v>36</v>
      </c>
      <c r="B5" s="16" t="n">
        <v>2030</v>
      </c>
      <c r="C5" s="16" t="n">
        <v>1970</v>
      </c>
    </row>
    <row r="6" customFormat="false" ht="15" hidden="false" customHeight="false" outlineLevel="0" collapsed="false">
      <c r="A6" s="7" t="s">
        <v>37</v>
      </c>
      <c r="B6" s="16" t="n">
        <v>129</v>
      </c>
      <c r="C6" s="16" t="n">
        <v>91</v>
      </c>
    </row>
    <row r="7" customFormat="false" ht="15" hidden="false" customHeight="false" outlineLevel="0" collapsed="false">
      <c r="A7" s="7" t="s">
        <v>38</v>
      </c>
      <c r="B7" s="19" t="n">
        <f aca="false">B6/B5</f>
        <v>0.0635467980295567</v>
      </c>
      <c r="C7" s="19" t="n">
        <f aca="false">C6/C5</f>
        <v>0.0461928934010152</v>
      </c>
    </row>
    <row r="9" customFormat="false" ht="15" hidden="false" customHeight="false" outlineLevel="0" collapsed="false">
      <c r="A9" s="13" t="s">
        <v>39</v>
      </c>
      <c r="B9" s="20" t="n">
        <f aca="false">B7-C7</f>
        <v>0.0173539046285414</v>
      </c>
    </row>
    <row r="10" customFormat="false" ht="15" hidden="false" customHeight="false" outlineLevel="0" collapsed="false">
      <c r="A10" s="7" t="s">
        <v>40</v>
      </c>
      <c r="B10" s="21" t="n">
        <f aca="false">SQRT(B7*(1-B7)/B5+C7*(1-C7)/C5)</f>
        <v>0.00718885338313756</v>
      </c>
    </row>
    <row r="11" customFormat="false" ht="15" hidden="false" customHeight="false" outlineLevel="0" collapsed="false">
      <c r="A11" s="7" t="s">
        <v>41</v>
      </c>
      <c r="B11" s="19" t="n">
        <f aca="false">B9-1.96*B10</f>
        <v>0.00326375199759181</v>
      </c>
    </row>
    <row r="12" customFormat="false" ht="15" hidden="false" customHeight="false" outlineLevel="0" collapsed="false">
      <c r="A12" s="7" t="s">
        <v>42</v>
      </c>
      <c r="B12" s="19" t="n">
        <f aca="false">B9+1.96*B10</f>
        <v>0.031444057259491</v>
      </c>
    </row>
    <row r="13" customFormat="false" ht="15" hidden="false" customHeight="false" outlineLevel="0" collapsed="false">
      <c r="A13" s="7" t="s">
        <v>43</v>
      </c>
      <c r="B13" s="21" t="n">
        <f aca="false">2*(1-NORMSDIST(ABS(B9)/B10))</f>
        <v>0.0157783866910388</v>
      </c>
    </row>
    <row r="14" customFormat="false" ht="15" hidden="false" customHeight="false" outlineLevel="0" collapsed="false">
      <c r="A14" s="7" t="s">
        <v>44</v>
      </c>
      <c r="B14" s="22" t="n">
        <f aca="false">B9*B5</f>
        <v>35.2284263959391</v>
      </c>
      <c r="C14" s="6" t="s">
        <v>45</v>
      </c>
    </row>
    <row r="15" customFormat="false" ht="15" hidden="false" customHeight="false" outlineLevel="0" collapsed="false">
      <c r="A15" s="7" t="s">
        <v>46</v>
      </c>
      <c r="B15" s="23" t="n">
        <f aca="false">C7/B7</f>
        <v>0.726911423287294</v>
      </c>
    </row>
    <row r="17" customFormat="false" ht="15" hidden="false" customHeight="false" outlineLevel="0" collapsed="false">
      <c r="A17" s="7" t="s">
        <v>47</v>
      </c>
      <c r="B17" s="24" t="n">
        <v>30</v>
      </c>
    </row>
    <row r="18" customFormat="false" ht="15" hidden="false" customHeight="false" outlineLevel="0" collapsed="false">
      <c r="A18" s="7" t="s">
        <v>48</v>
      </c>
      <c r="B18" s="25" t="n">
        <f aca="false">B17/B7</f>
        <v>472.093023255814</v>
      </c>
      <c r="C18" s="6" t="s">
        <v>49</v>
      </c>
    </row>
    <row r="19" customFormat="false" ht="15" hidden="false" customHeight="false" outlineLevel="0" collapsed="false">
      <c r="A19" s="13" t="s">
        <v>50</v>
      </c>
      <c r="B19" s="26" t="n">
        <f aca="false">IF(B9&gt;0,B17/B9,"no measurable effect")</f>
        <v>1728.71757925072</v>
      </c>
    </row>
    <row r="20" customFormat="false" ht="15" hidden="false" customHeight="false" outlineLevel="0" collapsed="false">
      <c r="A20" s="7" t="s">
        <v>51</v>
      </c>
      <c r="B20" s="25" t="n">
        <f aca="false">IF(B12&gt;0,B17/B12,"n/a")</f>
        <v>954.07535205861</v>
      </c>
    </row>
    <row r="21" customFormat="false" ht="15" hidden="false" customHeight="false" outlineLevel="0" collapsed="false">
      <c r="A21" s="7" t="s">
        <v>52</v>
      </c>
      <c r="B21" s="25" t="n">
        <f aca="false">IF(B11&gt;0,B17/B11,"interval includes zero")</f>
        <v>9191.87487962804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1"/>
    <col collapsed="false" customWidth="true" hidden="false" outlineLevel="0" max="3" min="3" style="0" width="12"/>
    <col collapsed="false" customWidth="true" hidden="false" outlineLevel="0" max="4" min="4" style="0" width="11"/>
    <col collapsed="false" customWidth="true" hidden="false" outlineLevel="0" max="5" min="5" style="0" width="12"/>
    <col collapsed="false" customWidth="true" hidden="false" outlineLevel="0" max="7" min="6" style="0" width="11"/>
    <col collapsed="false" customWidth="true" hidden="false" outlineLevel="0" max="8" min="8" style="0" width="9"/>
    <col collapsed="false" customWidth="true" hidden="false" outlineLevel="0" max="9" min="9" style="0" width="10"/>
    <col collapsed="false" customWidth="true" hidden="false" outlineLevel="0" max="11" min="10" style="0" width="9"/>
    <col collapsed="false" customWidth="true" hidden="false" outlineLevel="0" max="12" min="12" style="0" width="11"/>
  </cols>
  <sheetData>
    <row r="1" customFormat="false" ht="17.35" hidden="false" customHeight="false" outlineLevel="0" collapsed="false">
      <c r="A1" s="5" t="s">
        <v>53</v>
      </c>
    </row>
    <row r="2" customFormat="false" ht="15" hidden="false" customHeight="false" outlineLevel="0" collapsed="false">
      <c r="A2" s="6" t="s">
        <v>54</v>
      </c>
    </row>
    <row r="4" customFormat="false" ht="26.85" hidden="false" customHeight="false" outlineLevel="0" collapsed="false">
      <c r="A4" s="18" t="s">
        <v>55</v>
      </c>
      <c r="B4" s="18" t="s">
        <v>34</v>
      </c>
      <c r="C4" s="18" t="s">
        <v>56</v>
      </c>
      <c r="D4" s="18" t="s">
        <v>35</v>
      </c>
      <c r="E4" s="18" t="s">
        <v>57</v>
      </c>
      <c r="F4" s="18" t="s">
        <v>58</v>
      </c>
      <c r="G4" s="18" t="s">
        <v>59</v>
      </c>
      <c r="H4" s="18" t="s">
        <v>60</v>
      </c>
      <c r="I4" s="18" t="s">
        <v>61</v>
      </c>
      <c r="J4" s="18" t="s">
        <v>62</v>
      </c>
      <c r="K4" s="18" t="s">
        <v>63</v>
      </c>
      <c r="L4" s="18" t="s">
        <v>64</v>
      </c>
    </row>
    <row r="5" customFormat="false" ht="15" hidden="false" customHeight="false" outlineLevel="0" collapsed="false">
      <c r="A5" s="27" t="s">
        <v>65</v>
      </c>
      <c r="B5" s="16" t="n">
        <v>471</v>
      </c>
      <c r="C5" s="16" t="n">
        <v>55</v>
      </c>
      <c r="D5" s="16" t="n">
        <v>486</v>
      </c>
      <c r="E5" s="16" t="n">
        <v>15</v>
      </c>
      <c r="F5" s="11" t="n">
        <f aca="false">C5/B5</f>
        <v>0.116772823779193</v>
      </c>
      <c r="G5" s="11" t="n">
        <f aca="false">E5/D5</f>
        <v>0.0308641975308642</v>
      </c>
      <c r="H5" s="11" t="n">
        <f aca="false">F5-G5</f>
        <v>0.085908626248329</v>
      </c>
      <c r="I5" s="21" t="n">
        <f aca="false">SQRT(F5*(1-F5)/B5+G5*(1-G5)/D5)</f>
        <v>0.0167487574563596</v>
      </c>
      <c r="J5" s="11" t="n">
        <f aca="false">H5-1.96*I5</f>
        <v>0.0530810616338641</v>
      </c>
      <c r="K5" s="11" t="n">
        <f aca="false">H5+1.96*I5</f>
        <v>0.118736190862794</v>
      </c>
      <c r="L5" s="17" t="n">
        <f aca="false">$B$11+IF($B$12&gt;0,$B$12/($B$12+I5^2),0)*(H5-$B$11)</f>
        <v>0.0785817462710917</v>
      </c>
    </row>
    <row r="6" customFormat="false" ht="15" hidden="false" customHeight="false" outlineLevel="0" collapsed="false">
      <c r="A6" s="27" t="s">
        <v>66</v>
      </c>
      <c r="B6" s="16" t="n">
        <v>568</v>
      </c>
      <c r="C6" s="16" t="n">
        <v>106</v>
      </c>
      <c r="D6" s="16" t="n">
        <v>576</v>
      </c>
      <c r="E6" s="16" t="n">
        <v>101</v>
      </c>
      <c r="F6" s="11" t="n">
        <f aca="false">C6/B6</f>
        <v>0.186619718309859</v>
      </c>
      <c r="G6" s="11" t="n">
        <f aca="false">E6/D6</f>
        <v>0.175347222222222</v>
      </c>
      <c r="H6" s="11" t="n">
        <f aca="false">F6-G6</f>
        <v>0.0112724960876369</v>
      </c>
      <c r="I6" s="21" t="n">
        <f aca="false">SQRT(F6*(1-F6)/B6+G6*(1-G6)/D6)</f>
        <v>0.0227658407791624</v>
      </c>
      <c r="J6" s="11" t="n">
        <f aca="false">H6-1.96*I6</f>
        <v>-0.0333485518395214</v>
      </c>
      <c r="K6" s="11" t="n">
        <f aca="false">H6+1.96*I6</f>
        <v>0.0558935440147953</v>
      </c>
      <c r="L6" s="17" t="n">
        <f aca="false">$B$11+IF($B$12&gt;0,$B$12/($B$12+I6^2),0)*(H6-$B$11)</f>
        <v>0.0130867579880628</v>
      </c>
    </row>
    <row r="7" customFormat="false" ht="15" hidden="false" customHeight="false" outlineLevel="0" collapsed="false">
      <c r="A7" s="27" t="s">
        <v>67</v>
      </c>
      <c r="B7" s="16" t="n">
        <v>859</v>
      </c>
      <c r="C7" s="16" t="n">
        <v>35</v>
      </c>
      <c r="D7" s="16" t="n">
        <v>789</v>
      </c>
      <c r="E7" s="16" t="n">
        <v>29</v>
      </c>
      <c r="F7" s="11" t="n">
        <f aca="false">C7/B7</f>
        <v>0.0407450523864959</v>
      </c>
      <c r="G7" s="11" t="n">
        <f aca="false">E7/D7</f>
        <v>0.0367553865652725</v>
      </c>
      <c r="H7" s="11" t="n">
        <f aca="false">F7-G7</f>
        <v>0.00398966582122343</v>
      </c>
      <c r="I7" s="21" t="n">
        <f aca="false">SQRT(F7*(1-F7)/B7+G7*(1-G7)/D7)</f>
        <v>0.00950647095891109</v>
      </c>
      <c r="J7" s="11" t="n">
        <f aca="false">H7-1.96*I7</f>
        <v>-0.0146430172582423</v>
      </c>
      <c r="K7" s="11" t="n">
        <f aca="false">H7+1.96*I7</f>
        <v>0.0226223489006892</v>
      </c>
      <c r="L7" s="17" t="n">
        <f aca="false">$B$11+IF($B$12&gt;0,$B$12/($B$12+I7^2),0)*(H7-$B$11)</f>
        <v>0.00465079730368168</v>
      </c>
    </row>
    <row r="8" customFormat="false" ht="15" hidden="false" customHeight="false" outlineLevel="0" collapsed="false">
      <c r="A8" s="27" t="s">
        <v>68</v>
      </c>
      <c r="B8" s="16" t="n">
        <v>132</v>
      </c>
      <c r="C8" s="16" t="n">
        <v>6</v>
      </c>
      <c r="D8" s="16" t="n">
        <v>119</v>
      </c>
      <c r="E8" s="16" t="n">
        <v>10</v>
      </c>
      <c r="F8" s="11" t="n">
        <f aca="false">C8/B8</f>
        <v>0.0454545454545455</v>
      </c>
      <c r="G8" s="11" t="n">
        <f aca="false">E8/D8</f>
        <v>0.0840336134453782</v>
      </c>
      <c r="H8" s="11" t="n">
        <f aca="false">F8-G8</f>
        <v>-0.0385790679908327</v>
      </c>
      <c r="I8" s="21" t="n">
        <f aca="false">SQRT(F8*(1-F8)/B8+G8*(1-G8)/D8)</f>
        <v>0.0312333709811417</v>
      </c>
      <c r="J8" s="11" t="n">
        <f aca="false">H8-1.96*I8</f>
        <v>-0.0997964751138704</v>
      </c>
      <c r="K8" s="11" t="n">
        <f aca="false">H8+1.96*I8</f>
        <v>0.022638339132205</v>
      </c>
      <c r="L8" s="17" t="n">
        <f aca="false">$B$11+IF($B$12&gt;0,$B$12/($B$12+I8^2),0)*(H8-$B$11)</f>
        <v>-0.0203936837633123</v>
      </c>
    </row>
    <row r="11" customFormat="false" ht="15" hidden="false" customHeight="false" outlineLevel="0" collapsed="false">
      <c r="A11" s="7" t="s">
        <v>69</v>
      </c>
      <c r="B11" s="11" t="n">
        <f aca="false">SUM(C5:C8)/SUM(B5:B8)-SUM(E5:E8)/SUM(D5:D8)</f>
        <v>0.0208271861168763</v>
      </c>
    </row>
    <row r="12" customFormat="false" ht="15" hidden="false" customHeight="false" outlineLevel="0" collapsed="false">
      <c r="A12" s="7" t="s">
        <v>70</v>
      </c>
      <c r="B12" s="28" t="n">
        <f aca="false">MAX(VAR(H5:H8)-SUMPRODUCT(I5:I8,I5:I8)/COUNT(I5:I8),0)</f>
        <v>0.00221122222241401</v>
      </c>
      <c r="C12" s="6" t="s">
        <v>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3" min="2" style="0" width="14"/>
    <col collapsed="false" customWidth="true" hidden="false" outlineLevel="0" max="4" min="4" style="0" width="11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7" min="7" style="0" width="16"/>
    <col collapsed="false" customWidth="true" hidden="false" outlineLevel="0" max="8" min="8" style="0" width="14"/>
  </cols>
  <sheetData>
    <row r="1" customFormat="false" ht="17.35" hidden="false" customHeight="false" outlineLevel="0" collapsed="false">
      <c r="A1" s="5" t="s">
        <v>72</v>
      </c>
    </row>
    <row r="2" customFormat="false" ht="15" hidden="false" customHeight="false" outlineLevel="0" collapsed="false">
      <c r="A2" s="6" t="s">
        <v>73</v>
      </c>
    </row>
    <row r="3" customFormat="false" ht="15" hidden="false" customHeight="false" outlineLevel="0" collapsed="false">
      <c r="A3" s="7" t="s">
        <v>74</v>
      </c>
      <c r="B3" s="16" t="n">
        <v>1000</v>
      </c>
    </row>
    <row r="4" customFormat="false" ht="15" hidden="false" customHeight="false" outlineLevel="0" collapsed="false">
      <c r="A4" s="7" t="s">
        <v>75</v>
      </c>
      <c r="B4" s="9" t="n">
        <v>0.6</v>
      </c>
      <c r="C4" s="6" t="s">
        <v>76</v>
      </c>
    </row>
    <row r="6" customFormat="false" ht="39.55" hidden="false" customHeight="false" outlineLevel="0" collapsed="false">
      <c r="A6" s="18" t="s">
        <v>55</v>
      </c>
      <c r="B6" s="18" t="s">
        <v>77</v>
      </c>
      <c r="C6" s="18" t="s">
        <v>78</v>
      </c>
      <c r="D6" s="18" t="s">
        <v>64</v>
      </c>
      <c r="E6" s="18" t="s">
        <v>79</v>
      </c>
      <c r="F6" s="18" t="s">
        <v>80</v>
      </c>
      <c r="G6" s="18" t="s">
        <v>81</v>
      </c>
      <c r="H6" s="18" t="s">
        <v>82</v>
      </c>
    </row>
    <row r="7" customFormat="false" ht="15" hidden="false" customHeight="false" outlineLevel="0" collapsed="false">
      <c r="A7" s="29" t="str">
        <f aca="false">'Segment lift'!A5</f>
        <v>TA alumni, no loan</v>
      </c>
      <c r="B7" s="16" t="n">
        <v>988</v>
      </c>
      <c r="C7" s="9" t="n">
        <v>0.666</v>
      </c>
      <c r="D7" s="30" t="n">
        <f aca="false">'Segment lift'!L5</f>
        <v>0.0785817462710917</v>
      </c>
      <c r="E7" s="31" t="n">
        <f aca="false">RANK(D7,$D$7:$D$10,0)</f>
        <v>1</v>
      </c>
      <c r="F7" s="32" t="n">
        <f aca="false">IF(D7&lt;=0,0,MAX(0,MIN(B7,$B$3-SUMIFS($B$7:$B$10,$E$7:$E$10,"&lt;"&amp;E7,$D$7:$D$10,"&gt;0"))))</f>
        <v>988</v>
      </c>
      <c r="G7" s="22" t="n">
        <f aca="false">F7*D7</f>
        <v>77.6387653158386</v>
      </c>
      <c r="H7" s="32" t="n">
        <f aca="false">F7*C7</f>
        <v>658.008</v>
      </c>
    </row>
    <row r="8" customFormat="false" ht="15" hidden="false" customHeight="false" outlineLevel="0" collapsed="false">
      <c r="A8" s="29" t="str">
        <f aca="false">'Segment lift'!A6</f>
        <v>Already engaged</v>
      </c>
      <c r="B8" s="16" t="n">
        <v>1165</v>
      </c>
      <c r="C8" s="9" t="n">
        <v>0.535</v>
      </c>
      <c r="D8" s="30" t="n">
        <f aca="false">'Segment lift'!L6</f>
        <v>0.0130867579880628</v>
      </c>
      <c r="E8" s="31" t="n">
        <f aca="false">RANK(D8,$D$7:$D$10,0)</f>
        <v>2</v>
      </c>
      <c r="F8" s="32" t="n">
        <f aca="false">IF(D8&lt;=0,0,MAX(0,MIN(B8,$B$3-SUMIFS($B$7:$B$10,$E$7:$E$10,"&lt;"&amp;E8,$D$7:$D$10,"&gt;0"))))</f>
        <v>12</v>
      </c>
      <c r="G8" s="22" t="n">
        <f aca="false">F8*D8</f>
        <v>0.157041095856753</v>
      </c>
      <c r="H8" s="32" t="n">
        <f aca="false">F8*C8</f>
        <v>6.42</v>
      </c>
    </row>
    <row r="9" customFormat="false" ht="15" hidden="false" customHeight="false" outlineLevel="0" collapsed="false">
      <c r="A9" s="29" t="str">
        <f aca="false">'Segment lift'!A7</f>
        <v>Other</v>
      </c>
      <c r="B9" s="16" t="n">
        <v>1599</v>
      </c>
      <c r="C9" s="9" t="n">
        <v>0.556</v>
      </c>
      <c r="D9" s="30" t="n">
        <f aca="false">'Segment lift'!L7</f>
        <v>0.00465079730368168</v>
      </c>
      <c r="E9" s="31" t="n">
        <f aca="false">RANK(D9,$D$7:$D$10,0)</f>
        <v>3</v>
      </c>
      <c r="F9" s="32" t="n">
        <f aca="false">IF(D9&lt;=0,0,MAX(0,MIN(B9,$B$3-SUMIFS($B$7:$B$10,$E$7:$E$10,"&lt;"&amp;E9,$D$7:$D$10,"&gt;0"))))</f>
        <v>0</v>
      </c>
      <c r="G9" s="22" t="n">
        <f aca="false">F9*D9</f>
        <v>0</v>
      </c>
      <c r="H9" s="32" t="n">
        <f aca="false">F9*C9</f>
        <v>0</v>
      </c>
    </row>
    <row r="10" customFormat="false" ht="15" hidden="false" customHeight="false" outlineLevel="0" collapsed="false">
      <c r="A10" s="29" t="str">
        <f aca="false">'Segment lift'!A8</f>
        <v>Recently declined</v>
      </c>
      <c r="B10" s="16" t="n">
        <v>248</v>
      </c>
      <c r="C10" s="9" t="n">
        <v>0.609</v>
      </c>
      <c r="D10" s="30" t="n">
        <f aca="false">'Segment lift'!L8</f>
        <v>-0.0203936837633123</v>
      </c>
      <c r="E10" s="31" t="n">
        <f aca="false">RANK(D10,$D$7:$D$10,0)</f>
        <v>4</v>
      </c>
      <c r="F10" s="32" t="n">
        <f aca="false">IF(D10&lt;=0,0,MAX(0,MIN(B10,$B$3-SUMIFS($B$7:$B$10,$E$7:$E$10,"&lt;"&amp;E10,$D$7:$D$10,"&gt;0"))))</f>
        <v>0</v>
      </c>
      <c r="G10" s="22" t="n">
        <f aca="false">F10*D10</f>
        <v>-0</v>
      </c>
      <c r="H10" s="32" t="n">
        <f aca="false">F10*C10</f>
        <v>0</v>
      </c>
    </row>
    <row r="11" customFormat="false" ht="15" hidden="false" customHeight="false" outlineLevel="0" collapsed="false">
      <c r="A11" s="13" t="s">
        <v>83</v>
      </c>
      <c r="B11" s="14" t="n">
        <f aca="false">SUM(B7:B10)</f>
        <v>4000</v>
      </c>
      <c r="F11" s="14" t="n">
        <f aca="false">SUM(F7:F10)</f>
        <v>1000</v>
      </c>
      <c r="G11" s="33" t="n">
        <f aca="false">SUM(G7:G10)</f>
        <v>77.7958064116953</v>
      </c>
      <c r="H11" s="14" t="n">
        <f aca="false">SUM(H7:H10)</f>
        <v>664.428</v>
      </c>
    </row>
    <row r="13" customFormat="false" ht="15" hidden="false" customHeight="false" outlineLevel="0" collapsed="false">
      <c r="A13" s="13" t="s">
        <v>84</v>
      </c>
      <c r="B13" s="34" t="n">
        <f aca="false">IF(F11&gt;0,H11/F11,0)</f>
        <v>0.664428</v>
      </c>
    </row>
    <row r="14" customFormat="false" ht="15" hidden="false" customHeight="false" outlineLevel="0" collapsed="false">
      <c r="A14" s="13" t="s">
        <v>85</v>
      </c>
      <c r="B14" s="13" t="str">
        <f aca="false">IF(B13&gt;=B4,"meets floor","below floor: move contacts to target-market prospects")</f>
        <v>meets floor</v>
      </c>
    </row>
    <row r="15" customFormat="false" ht="15" hidden="false" customHeight="false" outlineLevel="0" collapsed="false">
      <c r="A15" s="7" t="s">
        <v>86</v>
      </c>
      <c r="B15" s="32" t="n">
        <f aca="false">B3-F11</f>
        <v>0</v>
      </c>
      <c r="C15" s="6" t="s">
        <v>87</v>
      </c>
    </row>
  </sheetData>
  <conditionalFormatting sqref="B14">
    <cfRule type="expression" priority="2" aboveAverage="0" equalAverage="0" bottom="0" percent="0" rank="0" text="" dxfId="0">
      <formula>LEFT(B14,5)="meets"</formula>
    </cfRule>
    <cfRule type="expression" priority="3" aboveAverage="0" equalAverage="0" bottom="0" percent="0" rank="0" text="" dxfId="1">
      <formula>LEFT(B14,5)="below"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2026-09-27T14:56:24Z</dcterms:created>
  <dc:creator>Hang Xu</dc:creator>
  <dc:description/>
  <dc:language>en-US</dc:language>
  <cp:lastModifiedBy/>
  <dcterms:modified xsi:type="dcterms:W3CDTF">2026-09-27T14:56:24Z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